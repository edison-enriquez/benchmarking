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956D468-2373-4F2C-8C48-32C276DF482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ogramas" sheetId="1" r:id="rId1"/>
    <sheet name="Reg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5" i="1" l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</calcChain>
</file>

<file path=xl/sharedStrings.xml><?xml version="1.0" encoding="utf-8"?>
<sst xmlns="http://schemas.openxmlformats.org/spreadsheetml/2006/main" count="683" uniqueCount="151">
  <si>
    <t>Unnamed: 0</t>
  </si>
  <si>
    <t>NOMBRE_INSTITUCIÓN</t>
  </si>
  <si>
    <t>NOMBRE_DEL_PROGRAMA</t>
  </si>
  <si>
    <t>SECTOR</t>
  </si>
  <si>
    <t>CÓDIGO_SNIES_DEL_PROGRAMA</t>
  </si>
  <si>
    <t>CÓDIGO_ANTERIOR_ICFES</t>
  </si>
  <si>
    <t>RECONOCIMIENTO_DEL_MINISTERIO</t>
  </si>
  <si>
    <t>VIGENCIA_AÑOS</t>
  </si>
  <si>
    <t>CINE_F_2013_AC_CAMPO_DETALLADO</t>
  </si>
  <si>
    <t>MODALIDAD</t>
  </si>
  <si>
    <t>NÚMERO_CRÉDITOS</t>
  </si>
  <si>
    <t>NÚMERO_PERIODOS_DE_DURACIÓN</t>
  </si>
  <si>
    <t>PERIODICIDAD</t>
  </si>
  <si>
    <t>SE_OFRECE_POR_CICLOS_PROPEDÉUT</t>
  </si>
  <si>
    <t>PERIODICIDAD_ADMISIONES</t>
  </si>
  <si>
    <t>DEPARTAMENTO_OFERTA_PROGRAMA</t>
  </si>
  <si>
    <t>MUNICIPIO_OFERTA_PROGRAMA</t>
  </si>
  <si>
    <t>REGION</t>
  </si>
  <si>
    <t>UNIVERSIDAD AUTONOMA DE MANIZALES</t>
  </si>
  <si>
    <t>TECNOLOGIA EN AUTOMATIZACION INDUSTRIAL</t>
  </si>
  <si>
    <t>Privado</t>
  </si>
  <si>
    <t>182526290801700111200</t>
  </si>
  <si>
    <t>Registro calificado</t>
  </si>
  <si>
    <t>Electrónica y automatización</t>
  </si>
  <si>
    <t>Presencial</t>
  </si>
  <si>
    <t>Semestral</t>
  </si>
  <si>
    <t>No</t>
  </si>
  <si>
    <t>Caldas</t>
  </si>
  <si>
    <t>Manizales</t>
  </si>
  <si>
    <t>Región Centro Occidente</t>
  </si>
  <si>
    <t>CORPORACION UNIVERSITARIA MINUTO DE DIOS -UNIMINUTO-</t>
  </si>
  <si>
    <t>TECNOLOGIA EN ELECTRONICA</t>
  </si>
  <si>
    <t>Acreditación de alta calidad</t>
  </si>
  <si>
    <t>Bogotá, D.C.</t>
  </si>
  <si>
    <t>Región Bogotá</t>
  </si>
  <si>
    <t>UNIVERSIDAD DE SAN BUENAVENTURA</t>
  </si>
  <si>
    <t>TECNOLOGÍA EN AUTOMATIZACIÓN INDUSTRIAL</t>
  </si>
  <si>
    <t>UNIVERSIDAD ECCI</t>
  </si>
  <si>
    <t>TECNOLOGIA EN ELECTRONICA INDUSTRIAL</t>
  </si>
  <si>
    <t>Si</t>
  </si>
  <si>
    <t>SERVICIO NACIONAL DE APRENDIZAJE-SENA-</t>
  </si>
  <si>
    <t>TECNOLOGÍA EN AUTOMATIZACION INDUSTRIAL</t>
  </si>
  <si>
    <t>Oficial</t>
  </si>
  <si>
    <t>Mensual</t>
  </si>
  <si>
    <t>Trimestral</t>
  </si>
  <si>
    <t>INSTITUTO TOLIMENSE DE FORMACION TECNICA PROFESIONAL</t>
  </si>
  <si>
    <t>TECNOLOGÍA EN AUTOMATIZACIÓN ELECTRÓNICA INDUSTRIAL</t>
  </si>
  <si>
    <t>Tolima</t>
  </si>
  <si>
    <t>Espinal</t>
  </si>
  <si>
    <t>Región Sur Oriente</t>
  </si>
  <si>
    <t>UNIVERSIDAD DEL QUINDIO</t>
  </si>
  <si>
    <t>TECNOLOGIA EN INSTRUMENTACIÓN ELECTRONICA</t>
  </si>
  <si>
    <t>Quindío</t>
  </si>
  <si>
    <t>Armenia</t>
  </si>
  <si>
    <t>TECNOLOGIA EN AUTOMATIZACION Y ROBOTICA INDUSTRIAL</t>
  </si>
  <si>
    <t>ESCUELA TECNOLOGICA INSTITUTO TECNICO CENTRAL</t>
  </si>
  <si>
    <t>TECNOLOGIA EN AUTOMATIZACIÓN INDUSTRIAL</t>
  </si>
  <si>
    <t>FUNDACION UNIVERSITARIA COLOMBO GERMANA</t>
  </si>
  <si>
    <t>TECNOLOGÍA EN ELECTRÓNICA INDUSTRIAL</t>
  </si>
  <si>
    <t>TECNOLOGIA EN AUTOMATIZACION Y ROBOTICA INDURSTIAL</t>
  </si>
  <si>
    <t>Antioquia</t>
  </si>
  <si>
    <t>Medellín</t>
  </si>
  <si>
    <t>INSTITUTO TECNOLOGICO METROPOLITANO</t>
  </si>
  <si>
    <t>TECNOLOGIA EN AUTOMATIZACIÓN ELECTRONICA</t>
  </si>
  <si>
    <t>UNIVERSIDAD COOPERATIVA DE COLOMBIA</t>
  </si>
  <si>
    <t>TECNOLOGIA EN CONTROL Y AUTOMATIZACION INDUSTRIAL</t>
  </si>
  <si>
    <t>Santander</t>
  </si>
  <si>
    <t>Girón</t>
  </si>
  <si>
    <t>Región Centro Oriente</t>
  </si>
  <si>
    <t>CORPORACION UNIFICADA NACIONAL DE EDUCACION SUPERIOR-CUN-</t>
  </si>
  <si>
    <t>INSTITUCION UNIVERSITARIA EAM</t>
  </si>
  <si>
    <t>Ibagué</t>
  </si>
  <si>
    <t>Huila</t>
  </si>
  <si>
    <t>Neiva</t>
  </si>
  <si>
    <t>Boyacá</t>
  </si>
  <si>
    <t>Sogamoso</t>
  </si>
  <si>
    <t>UNIDADES TECNOLOGICAS DE SANTANDER</t>
  </si>
  <si>
    <t>TECNOLOGÍA EN IMPLEMENTACIÓN DE SISTEMAS ELECTRÓNICOS INDUSTRIALES</t>
  </si>
  <si>
    <t>Bucaramanga</t>
  </si>
  <si>
    <t>TECNOLOGÍA EN MANTENIMIENTO ELECTRÓNICO E INSTRUMENTAL INDUSTRIAL</t>
  </si>
  <si>
    <t>UNIVERSIDAD DISTRITAL-FRANCISCO JOSE DE CALDAS</t>
  </si>
  <si>
    <t>INSTITUCIÓN UNIVERSITARIA COMANDO DE EDUCACIÓN Y DOCTRINA - CEDOC DEL EJÉRCITO NACIONAL</t>
  </si>
  <si>
    <t>TECNOLOGIA EN SUPERVISIÓN Y MANTENIMIENTO DE SISTEMAS DE COMUNICACIÓN E INFORMÁTICA</t>
  </si>
  <si>
    <t>Cundinamarca</t>
  </si>
  <si>
    <t>Facatativá</t>
  </si>
  <si>
    <t>UNIVERSIDAD NACIONAL ABIERTA Y A DISTANCIA UNAD</t>
  </si>
  <si>
    <t>Virtual</t>
  </si>
  <si>
    <t>FUNDACION UNIVERSITARIA LOS LIBERTADORES</t>
  </si>
  <si>
    <t>TECNOLOGIA EN ROBOTICA Y AUTOMATIZACION INDUSTRIAL</t>
  </si>
  <si>
    <t>TECNOLOGÍA EN DESARROLLO DE SISTEMAS ELECTRÓNICOS INDUSTRIALES</t>
  </si>
  <si>
    <t>UNIVERSIDAD DE CALDAS</t>
  </si>
  <si>
    <t>TECNOLOGIA EN ELECTRONICA  (Tecnólogo en Electrónica Industrial.)</t>
  </si>
  <si>
    <t>A distancia</t>
  </si>
  <si>
    <t>Norte de Santander</t>
  </si>
  <si>
    <t>San José de Cúcuta</t>
  </si>
  <si>
    <t>Risaralda</t>
  </si>
  <si>
    <t>Dosquebradas</t>
  </si>
  <si>
    <t>INSTITUCIÓN UNIVERSITARIA DE BARRANQUILLA - IUB</t>
  </si>
  <si>
    <t>TECNOLOGIA EN AUTOMATIZACIÓN ELECTRÓNICA INDUSTRIAL</t>
  </si>
  <si>
    <t>Cuatrimestral</t>
  </si>
  <si>
    <t>Atlántico</t>
  </si>
  <si>
    <t>Barranquilla</t>
  </si>
  <si>
    <t>Región Norte</t>
  </si>
  <si>
    <t>FUNDACION UNIVERSITARIA TECNOLOGICO COMFENALCO - CARTAGENA</t>
  </si>
  <si>
    <t>TECNOLOGÍA EN CONTROL ELECTRÓNICO DE PROCESOS</t>
  </si>
  <si>
    <t>Bolívar</t>
  </si>
  <si>
    <t>Cartagena de Indias</t>
  </si>
  <si>
    <t>La Guajira</t>
  </si>
  <si>
    <t>Riohacha</t>
  </si>
  <si>
    <t>Meta</t>
  </si>
  <si>
    <t>Villavicencio</t>
  </si>
  <si>
    <t>TECNOLOGIA EN MANTENIMIENTO ELECTRONICO E INSTRUMENTAL INDUSTRIAL</t>
  </si>
  <si>
    <t>INSTITUCION UNIVERSITARIA ANTONIO JOSE CAMACHO</t>
  </si>
  <si>
    <t>330126210387600111100</t>
  </si>
  <si>
    <t>Valle del Cauca</t>
  </si>
  <si>
    <t>Santiago de Cali</t>
  </si>
  <si>
    <t>FUNDACION CENTRO COLOMBIANO DE ESTUDIOS PROFESIONALES, -F.C.E.C.E.P.</t>
  </si>
  <si>
    <t>FUNDACION TECNOLOGICA AUTONOMA DEL PACIFICO</t>
  </si>
  <si>
    <t>TECNOLOGÌA EN INSTRUMENTACIÒN ELECTRÒNICA</t>
  </si>
  <si>
    <t>UNIVERSIDAD AUTONOMA DE OCCIDENTE</t>
  </si>
  <si>
    <t>TECNOLOGÍA EN SISTEMAS ELECTRÓNICOS Y DE AUTOMATIZACIÓN</t>
  </si>
  <si>
    <t>Nariño</t>
  </si>
  <si>
    <t>Pasto</t>
  </si>
  <si>
    <t>Cauca</t>
  </si>
  <si>
    <t>Popayán</t>
  </si>
  <si>
    <t>UNIVERSIDAD DEL VALLE</t>
  </si>
  <si>
    <t>Anual</t>
  </si>
  <si>
    <t>Palmira</t>
  </si>
  <si>
    <t>Cartago</t>
  </si>
  <si>
    <t>Buenaventura</t>
  </si>
  <si>
    <t>Tuluá</t>
  </si>
  <si>
    <t>Zarzal</t>
  </si>
  <si>
    <t>Departamento</t>
  </si>
  <si>
    <t>Región</t>
  </si>
  <si>
    <t>Cesar</t>
  </si>
  <si>
    <t>Cordoba</t>
  </si>
  <si>
    <t>Magdalena</t>
  </si>
  <si>
    <t>Sucre</t>
  </si>
  <si>
    <t>San Andres y Providencia</t>
  </si>
  <si>
    <t>Región Occidente</t>
  </si>
  <si>
    <t>Choco</t>
  </si>
  <si>
    <t>Caqueta</t>
  </si>
  <si>
    <t>Arauca</t>
  </si>
  <si>
    <t>Casanare</t>
  </si>
  <si>
    <t>Putumayo</t>
  </si>
  <si>
    <t>Amazonas</t>
  </si>
  <si>
    <t>Guainia</t>
  </si>
  <si>
    <t>Guaviare</t>
  </si>
  <si>
    <t>Vaupes</t>
  </si>
  <si>
    <t>Vichada</t>
  </si>
  <si>
    <t>110178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</si>
</sst>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4" fillId="0" borderId="1" xfId="0" applyFont="1" applyBorder="1" applyAlignment="1">
      <alignment horizontal="center" vertical="top"/>
    </xf>
    <xf numFmtId="0" fontId="5" fillId="0" borderId="0" xfId="1"/>
    <xf numFmtId="0" fontId="5" fillId="0" borderId="0" xfId="1" applyAlignment="1">
      <alignment horizontal="right"/>
    </xf>
  </cellXfs>
  <cellStyles count="2">
    <cellStyle name="Normal" xfId="0" builtinId="0"/>
    <cellStyle name="Normal 2" xfId="1" xr:uid="{CA7A8A06-8404-4FD3-8847-7173DA7AFF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>
      <selection activeCell="Q57" sqref="Q57"/>
    </sheetView>
  </sheetViews>
  <sheetFormatPr baseColWidth="10" defaultColWidth="9.140625" defaultRowHeight="15" x14ac:dyDescent="0.25"/>
  <cols>
    <col min="2" max="2" width="27.5703125" customWidth="1"/>
    <col min="3" max="3" width="25.7109375" customWidth="1"/>
    <col min="17" max="17" width="27.5703125" customWidth="1"/>
    <col min="18" max="18" width="33.28515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</row>
    <row r="2" spans="1:18" x14ac:dyDescent="0.25">
      <c r="B2" t="s">
        <v>18</v>
      </c>
      <c r="C2" t="s">
        <v>19</v>
      </c>
      <c r="D2" t="s">
        <v>20</v>
      </c>
      <c r="E2">
        <v>2980</v>
      </c>
      <c r="F2" t="s">
        <v>21</v>
      </c>
      <c r="G2" t="s">
        <v>22</v>
      </c>
      <c r="H2">
        <v>7</v>
      </c>
      <c r="I2" t="s">
        <v>23</v>
      </c>
      <c r="J2" t="s">
        <v>24</v>
      </c>
      <c r="K2">
        <v>99</v>
      </c>
      <c r="L2">
        <v>7</v>
      </c>
      <c r="M2" t="s">
        <v>25</v>
      </c>
      <c r="N2" t="s">
        <v>26</v>
      </c>
      <c r="O2" t="s">
        <v>25</v>
      </c>
      <c r="P2" t="s">
        <v>27</v>
      </c>
      <c r="Q2" t="s">
        <v>28</v>
      </c>
      <c r="R2" t="str">
        <f>VLOOKUP(P2,Regiones!$A$1:$B$35,2,FALSE)</f>
        <v>Región Centro Occidente</v>
      </c>
    </row>
    <row r="3" spans="1:18" x14ac:dyDescent="0.25">
      <c r="B3" t="s">
        <v>30</v>
      </c>
      <c r="C3" t="s">
        <v>31</v>
      </c>
      <c r="D3" t="s">
        <v>20</v>
      </c>
      <c r="E3">
        <v>17759</v>
      </c>
      <c r="F3">
        <v>17759</v>
      </c>
      <c r="G3" t="s">
        <v>32</v>
      </c>
      <c r="H3">
        <v>4</v>
      </c>
      <c r="I3" t="s">
        <v>23</v>
      </c>
      <c r="J3" t="s">
        <v>24</v>
      </c>
      <c r="K3">
        <v>106</v>
      </c>
      <c r="L3">
        <v>6</v>
      </c>
      <c r="M3" t="s">
        <v>25</v>
      </c>
      <c r="N3" t="s">
        <v>26</v>
      </c>
      <c r="O3" t="s">
        <v>25</v>
      </c>
      <c r="P3" t="s">
        <v>33</v>
      </c>
      <c r="Q3" t="s">
        <v>33</v>
      </c>
      <c r="R3" t="str">
        <f>VLOOKUP(P3,Regiones!$A$1:$B$35,2,FALSE)</f>
        <v>Región Bogotá</v>
      </c>
    </row>
    <row r="4" spans="1:18" x14ac:dyDescent="0.25">
      <c r="B4" t="s">
        <v>35</v>
      </c>
      <c r="C4" t="s">
        <v>36</v>
      </c>
      <c r="D4" t="s">
        <v>20</v>
      </c>
      <c r="E4">
        <v>53897</v>
      </c>
      <c r="F4">
        <v>53897</v>
      </c>
      <c r="G4" t="s">
        <v>22</v>
      </c>
      <c r="H4">
        <v>7</v>
      </c>
      <c r="I4" t="s">
        <v>23</v>
      </c>
      <c r="J4" t="s">
        <v>24</v>
      </c>
      <c r="K4">
        <v>96</v>
      </c>
      <c r="L4">
        <v>6</v>
      </c>
      <c r="M4" t="s">
        <v>25</v>
      </c>
      <c r="N4" t="s">
        <v>26</v>
      </c>
      <c r="O4" t="s">
        <v>25</v>
      </c>
      <c r="P4" t="s">
        <v>33</v>
      </c>
      <c r="Q4" t="s">
        <v>33</v>
      </c>
      <c r="R4" t="str">
        <f>VLOOKUP(P4,Regiones!$A$1:$B$35,2,FALSE)</f>
        <v>Región Bogotá</v>
      </c>
    </row>
    <row r="5" spans="1:18" x14ac:dyDescent="0.25">
      <c r="B5" t="s">
        <v>37</v>
      </c>
      <c r="C5" t="s">
        <v>38</v>
      </c>
      <c r="D5" t="s">
        <v>20</v>
      </c>
      <c r="E5">
        <v>90893</v>
      </c>
      <c r="F5">
        <v>90893</v>
      </c>
      <c r="G5" t="s">
        <v>32</v>
      </c>
      <c r="H5">
        <v>4</v>
      </c>
      <c r="I5" t="s">
        <v>23</v>
      </c>
      <c r="J5" t="s">
        <v>24</v>
      </c>
      <c r="K5">
        <v>90</v>
      </c>
      <c r="L5">
        <v>5</v>
      </c>
      <c r="M5" t="s">
        <v>25</v>
      </c>
      <c r="N5" t="s">
        <v>39</v>
      </c>
      <c r="O5" t="s">
        <v>25</v>
      </c>
      <c r="P5" t="s">
        <v>33</v>
      </c>
      <c r="Q5" t="s">
        <v>33</v>
      </c>
      <c r="R5" t="str">
        <f>VLOOKUP(P5,Regiones!$A$1:$B$35,2,FALSE)</f>
        <v>Región Bogotá</v>
      </c>
    </row>
    <row r="6" spans="1:18" x14ac:dyDescent="0.25">
      <c r="B6" t="s">
        <v>40</v>
      </c>
      <c r="C6" t="s">
        <v>41</v>
      </c>
      <c r="D6" t="s">
        <v>42</v>
      </c>
      <c r="E6">
        <v>91153</v>
      </c>
      <c r="F6">
        <v>91153</v>
      </c>
      <c r="G6" t="s">
        <v>22</v>
      </c>
      <c r="H6">
        <v>7</v>
      </c>
      <c r="I6" t="s">
        <v>23</v>
      </c>
      <c r="J6" t="s">
        <v>24</v>
      </c>
      <c r="K6">
        <v>95</v>
      </c>
      <c r="L6">
        <v>24</v>
      </c>
      <c r="M6" t="s">
        <v>43</v>
      </c>
      <c r="N6" t="s">
        <v>26</v>
      </c>
      <c r="O6" t="s">
        <v>44</v>
      </c>
      <c r="P6" t="s">
        <v>27</v>
      </c>
      <c r="Q6" t="s">
        <v>28</v>
      </c>
      <c r="R6" t="str">
        <f>VLOOKUP(P6,Regiones!$A$1:$B$35,2,FALSE)</f>
        <v>Región Centro Occidente</v>
      </c>
    </row>
    <row r="7" spans="1:18" x14ac:dyDescent="0.25">
      <c r="B7" t="s">
        <v>45</v>
      </c>
      <c r="C7" t="s">
        <v>46</v>
      </c>
      <c r="D7" t="s">
        <v>42</v>
      </c>
      <c r="E7">
        <v>101649</v>
      </c>
      <c r="F7">
        <v>101649</v>
      </c>
      <c r="G7" t="s">
        <v>22</v>
      </c>
      <c r="H7">
        <v>7</v>
      </c>
      <c r="I7" t="s">
        <v>23</v>
      </c>
      <c r="J7" t="s">
        <v>24</v>
      </c>
      <c r="K7">
        <v>125</v>
      </c>
      <c r="L7">
        <v>7</v>
      </c>
      <c r="M7" t="s">
        <v>25</v>
      </c>
      <c r="N7" t="s">
        <v>39</v>
      </c>
      <c r="O7" t="s">
        <v>25</v>
      </c>
      <c r="P7" t="s">
        <v>47</v>
      </c>
      <c r="Q7" t="s">
        <v>48</v>
      </c>
      <c r="R7" t="str">
        <f>VLOOKUP(P7,Regiones!$A$1:$B$35,2,FALSE)</f>
        <v>Región Centro Occidente</v>
      </c>
    </row>
    <row r="8" spans="1:18" x14ac:dyDescent="0.25">
      <c r="B8" t="s">
        <v>50</v>
      </c>
      <c r="C8" t="s">
        <v>51</v>
      </c>
      <c r="D8" t="s">
        <v>42</v>
      </c>
      <c r="E8">
        <v>102327</v>
      </c>
      <c r="F8">
        <v>102327</v>
      </c>
      <c r="G8" t="s">
        <v>22</v>
      </c>
      <c r="H8">
        <v>7</v>
      </c>
      <c r="I8" t="s">
        <v>23</v>
      </c>
      <c r="J8" t="s">
        <v>24</v>
      </c>
      <c r="K8">
        <v>90</v>
      </c>
      <c r="L8">
        <v>6</v>
      </c>
      <c r="M8" t="s">
        <v>25</v>
      </c>
      <c r="N8" t="s">
        <v>26</v>
      </c>
      <c r="O8" t="s">
        <v>25</v>
      </c>
      <c r="P8" t="s">
        <v>52</v>
      </c>
      <c r="Q8" t="s">
        <v>53</v>
      </c>
      <c r="R8" t="str">
        <f>VLOOKUP(P8,Regiones!$A$1:$B$35,2,FALSE)</f>
        <v>Región Centro Occidente</v>
      </c>
    </row>
    <row r="9" spans="1:18" x14ac:dyDescent="0.25">
      <c r="B9" t="s">
        <v>37</v>
      </c>
      <c r="C9" t="s">
        <v>54</v>
      </c>
      <c r="D9" t="s">
        <v>20</v>
      </c>
      <c r="E9">
        <v>102855</v>
      </c>
      <c r="F9">
        <v>102855</v>
      </c>
      <c r="G9" t="s">
        <v>22</v>
      </c>
      <c r="H9">
        <v>7</v>
      </c>
      <c r="I9" t="s">
        <v>23</v>
      </c>
      <c r="J9" t="s">
        <v>24</v>
      </c>
      <c r="K9">
        <v>90</v>
      </c>
      <c r="L9">
        <v>5</v>
      </c>
      <c r="M9" t="s">
        <v>25</v>
      </c>
      <c r="N9" t="s">
        <v>39</v>
      </c>
      <c r="O9" t="s">
        <v>25</v>
      </c>
      <c r="P9" t="s">
        <v>33</v>
      </c>
      <c r="Q9" t="s">
        <v>33</v>
      </c>
      <c r="R9" t="str">
        <f>VLOOKUP(P9,Regiones!$A$1:$B$35,2,FALSE)</f>
        <v>Región Bogotá</v>
      </c>
    </row>
    <row r="10" spans="1:18" x14ac:dyDescent="0.25">
      <c r="B10" t="s">
        <v>55</v>
      </c>
      <c r="C10" t="s">
        <v>56</v>
      </c>
      <c r="D10" t="s">
        <v>42</v>
      </c>
      <c r="E10">
        <v>103233</v>
      </c>
      <c r="F10">
        <v>103233</v>
      </c>
      <c r="G10" t="s">
        <v>32</v>
      </c>
      <c r="H10">
        <v>6</v>
      </c>
      <c r="I10" t="s">
        <v>23</v>
      </c>
      <c r="J10" t="s">
        <v>24</v>
      </c>
      <c r="K10">
        <v>120</v>
      </c>
      <c r="L10">
        <v>7</v>
      </c>
      <c r="M10" t="s">
        <v>25</v>
      </c>
      <c r="N10" t="s">
        <v>39</v>
      </c>
      <c r="O10" t="s">
        <v>25</v>
      </c>
      <c r="P10" t="s">
        <v>33</v>
      </c>
      <c r="Q10" t="s">
        <v>33</v>
      </c>
      <c r="R10" t="str">
        <f>VLOOKUP(P10,Regiones!$A$1:$B$35,2,FALSE)</f>
        <v>Región Bogotá</v>
      </c>
    </row>
    <row r="11" spans="1:18" x14ac:dyDescent="0.25">
      <c r="B11" t="s">
        <v>57</v>
      </c>
      <c r="C11" t="s">
        <v>58</v>
      </c>
      <c r="D11" t="s">
        <v>20</v>
      </c>
      <c r="E11">
        <v>105344</v>
      </c>
      <c r="F11">
        <v>105344</v>
      </c>
      <c r="G11" t="s">
        <v>22</v>
      </c>
      <c r="H11">
        <v>7</v>
      </c>
      <c r="I11" t="s">
        <v>23</v>
      </c>
      <c r="J11" t="s">
        <v>24</v>
      </c>
      <c r="K11">
        <v>102</v>
      </c>
      <c r="L11">
        <v>6</v>
      </c>
      <c r="M11" t="s">
        <v>25</v>
      </c>
      <c r="N11" t="s">
        <v>26</v>
      </c>
      <c r="O11" t="s">
        <v>25</v>
      </c>
      <c r="P11" t="s">
        <v>33</v>
      </c>
      <c r="Q11" t="s">
        <v>33</v>
      </c>
      <c r="R11" t="str">
        <f>VLOOKUP(P11,Regiones!$A$1:$B$35,2,FALSE)</f>
        <v>Región Bogotá</v>
      </c>
    </row>
    <row r="12" spans="1:18" x14ac:dyDescent="0.25">
      <c r="B12" t="s">
        <v>37</v>
      </c>
      <c r="C12" t="s">
        <v>59</v>
      </c>
      <c r="D12" t="s">
        <v>20</v>
      </c>
      <c r="E12">
        <v>105652</v>
      </c>
      <c r="F12">
        <v>105652</v>
      </c>
      <c r="G12" t="s">
        <v>22</v>
      </c>
      <c r="H12">
        <v>7</v>
      </c>
      <c r="I12" t="s">
        <v>23</v>
      </c>
      <c r="J12" t="s">
        <v>24</v>
      </c>
      <c r="K12">
        <v>89</v>
      </c>
      <c r="L12">
        <v>5</v>
      </c>
      <c r="M12" t="s">
        <v>25</v>
      </c>
      <c r="N12" t="s">
        <v>39</v>
      </c>
      <c r="O12" t="s">
        <v>25</v>
      </c>
      <c r="P12" t="s">
        <v>60</v>
      </c>
      <c r="Q12" t="s">
        <v>61</v>
      </c>
      <c r="R12" t="str">
        <f>VLOOKUP(P12,Regiones!$A$1:$B$35,2,FALSE)</f>
        <v>Región Centro Occidente</v>
      </c>
    </row>
    <row r="13" spans="1:18" x14ac:dyDescent="0.25">
      <c r="B13" t="s">
        <v>62</v>
      </c>
      <c r="C13" t="s">
        <v>63</v>
      </c>
      <c r="D13" t="s">
        <v>42</v>
      </c>
      <c r="E13">
        <v>107004</v>
      </c>
      <c r="F13">
        <v>107004</v>
      </c>
      <c r="G13" t="s">
        <v>22</v>
      </c>
      <c r="H13">
        <v>7</v>
      </c>
      <c r="I13" t="s">
        <v>23</v>
      </c>
      <c r="J13" t="s">
        <v>24</v>
      </c>
      <c r="K13">
        <v>95</v>
      </c>
      <c r="L13">
        <v>6</v>
      </c>
      <c r="M13" t="s">
        <v>25</v>
      </c>
      <c r="N13" t="s">
        <v>26</v>
      </c>
      <c r="O13" t="s">
        <v>25</v>
      </c>
      <c r="P13" t="s">
        <v>60</v>
      </c>
      <c r="Q13" t="s">
        <v>61</v>
      </c>
      <c r="R13" t="str">
        <f>VLOOKUP(P13,Regiones!$A$1:$B$35,2,FALSE)</f>
        <v>Región Centro Occidente</v>
      </c>
    </row>
    <row r="14" spans="1:18" x14ac:dyDescent="0.25">
      <c r="B14" t="s">
        <v>64</v>
      </c>
      <c r="C14" t="s">
        <v>65</v>
      </c>
      <c r="D14" t="s">
        <v>20</v>
      </c>
      <c r="E14">
        <v>107315</v>
      </c>
      <c r="F14">
        <v>107315</v>
      </c>
      <c r="G14" t="s">
        <v>22</v>
      </c>
      <c r="H14">
        <v>7</v>
      </c>
      <c r="I14" t="s">
        <v>23</v>
      </c>
      <c r="J14" t="s">
        <v>24</v>
      </c>
      <c r="K14">
        <v>90</v>
      </c>
      <c r="L14">
        <v>5</v>
      </c>
      <c r="M14" t="s">
        <v>25</v>
      </c>
      <c r="N14" t="s">
        <v>26</v>
      </c>
      <c r="O14" t="s">
        <v>25</v>
      </c>
      <c r="P14" t="s">
        <v>33</v>
      </c>
      <c r="Q14" t="s">
        <v>33</v>
      </c>
      <c r="R14" t="str">
        <f>VLOOKUP(P14,Regiones!$A$1:$B$35,2,FALSE)</f>
        <v>Región Bogotá</v>
      </c>
    </row>
    <row r="15" spans="1:18" x14ac:dyDescent="0.25">
      <c r="B15" t="s">
        <v>40</v>
      </c>
      <c r="C15" t="s">
        <v>56</v>
      </c>
      <c r="D15" t="s">
        <v>42</v>
      </c>
      <c r="E15">
        <v>107757</v>
      </c>
      <c r="F15">
        <v>107757</v>
      </c>
      <c r="G15" t="s">
        <v>22</v>
      </c>
      <c r="H15">
        <v>7</v>
      </c>
      <c r="I15" t="s">
        <v>23</v>
      </c>
      <c r="J15" t="s">
        <v>24</v>
      </c>
      <c r="K15">
        <v>95</v>
      </c>
      <c r="L15">
        <v>24</v>
      </c>
      <c r="M15" t="s">
        <v>43</v>
      </c>
      <c r="N15" t="s">
        <v>26</v>
      </c>
      <c r="O15" t="s">
        <v>44</v>
      </c>
      <c r="P15" t="s">
        <v>66</v>
      </c>
      <c r="Q15" t="s">
        <v>67</v>
      </c>
      <c r="R15" t="str">
        <f>VLOOKUP(P15,Regiones!$A$1:$B$35,2,FALSE)</f>
        <v>Región Centro Oriente</v>
      </c>
    </row>
    <row r="16" spans="1:18" x14ac:dyDescent="0.25">
      <c r="B16" t="s">
        <v>69</v>
      </c>
      <c r="C16" t="s">
        <v>36</v>
      </c>
      <c r="D16" t="s">
        <v>20</v>
      </c>
      <c r="E16">
        <v>107986</v>
      </c>
      <c r="F16">
        <v>107986</v>
      </c>
      <c r="G16" t="s">
        <v>22</v>
      </c>
      <c r="H16">
        <v>7</v>
      </c>
      <c r="I16" t="s">
        <v>23</v>
      </c>
      <c r="J16" t="s">
        <v>24</v>
      </c>
      <c r="K16">
        <v>117</v>
      </c>
      <c r="L16">
        <v>7</v>
      </c>
      <c r="M16" t="s">
        <v>25</v>
      </c>
      <c r="N16" t="s">
        <v>39</v>
      </c>
      <c r="O16" t="s">
        <v>25</v>
      </c>
      <c r="P16" t="s">
        <v>33</v>
      </c>
      <c r="Q16" t="s">
        <v>33</v>
      </c>
      <c r="R16" t="str">
        <f>VLOOKUP(P16,Regiones!$A$1:$B$35,2,FALSE)</f>
        <v>Región Bogotá</v>
      </c>
    </row>
    <row r="17" spans="2:18" x14ac:dyDescent="0.25">
      <c r="B17" t="s">
        <v>70</v>
      </c>
      <c r="C17" t="s">
        <v>36</v>
      </c>
      <c r="D17" t="s">
        <v>20</v>
      </c>
      <c r="E17">
        <v>108014</v>
      </c>
      <c r="F17">
        <v>108014</v>
      </c>
      <c r="G17" t="s">
        <v>22</v>
      </c>
      <c r="H17">
        <v>7</v>
      </c>
      <c r="I17" t="s">
        <v>23</v>
      </c>
      <c r="J17" t="s">
        <v>24</v>
      </c>
      <c r="K17">
        <v>107</v>
      </c>
      <c r="L17">
        <v>6</v>
      </c>
      <c r="M17" t="s">
        <v>25</v>
      </c>
      <c r="N17" t="s">
        <v>39</v>
      </c>
      <c r="O17" t="s">
        <v>25</v>
      </c>
      <c r="P17" t="s">
        <v>52</v>
      </c>
      <c r="Q17" t="s">
        <v>53</v>
      </c>
      <c r="R17" t="str">
        <f>VLOOKUP(P17,Regiones!$A$1:$B$35,2,FALSE)</f>
        <v>Región Centro Occidente</v>
      </c>
    </row>
    <row r="18" spans="2:18" x14ac:dyDescent="0.25">
      <c r="B18" t="s">
        <v>40</v>
      </c>
      <c r="C18" t="s">
        <v>36</v>
      </c>
      <c r="D18" t="s">
        <v>42</v>
      </c>
      <c r="E18">
        <v>108044</v>
      </c>
      <c r="F18">
        <v>108044</v>
      </c>
      <c r="G18" t="s">
        <v>22</v>
      </c>
      <c r="H18">
        <v>7</v>
      </c>
      <c r="I18" t="s">
        <v>23</v>
      </c>
      <c r="J18" t="s">
        <v>24</v>
      </c>
      <c r="K18">
        <v>95</v>
      </c>
      <c r="L18">
        <v>24</v>
      </c>
      <c r="M18" t="s">
        <v>43</v>
      </c>
      <c r="N18" t="s">
        <v>26</v>
      </c>
      <c r="O18" t="s">
        <v>44</v>
      </c>
      <c r="P18" t="s">
        <v>60</v>
      </c>
      <c r="Q18" t="s">
        <v>61</v>
      </c>
      <c r="R18" t="str">
        <f>VLOOKUP(P18,Regiones!$A$1:$B$35,2,FALSE)</f>
        <v>Región Centro Occidente</v>
      </c>
    </row>
    <row r="19" spans="2:18" x14ac:dyDescent="0.25">
      <c r="B19" t="s">
        <v>40</v>
      </c>
      <c r="C19" t="s">
        <v>36</v>
      </c>
      <c r="D19" t="s">
        <v>42</v>
      </c>
      <c r="E19">
        <v>108119</v>
      </c>
      <c r="F19">
        <v>108119</v>
      </c>
      <c r="G19" t="s">
        <v>22</v>
      </c>
      <c r="H19">
        <v>7</v>
      </c>
      <c r="I19" t="s">
        <v>23</v>
      </c>
      <c r="J19" t="s">
        <v>24</v>
      </c>
      <c r="K19">
        <v>95</v>
      </c>
      <c r="L19">
        <v>24</v>
      </c>
      <c r="M19" t="s">
        <v>43</v>
      </c>
      <c r="N19" t="s">
        <v>26</v>
      </c>
      <c r="O19" t="s">
        <v>44</v>
      </c>
      <c r="P19" t="s">
        <v>47</v>
      </c>
      <c r="Q19" t="s">
        <v>71</v>
      </c>
      <c r="R19" t="str">
        <f>VLOOKUP(P19,Regiones!$A$1:$B$35,2,FALSE)</f>
        <v>Región Centro Occidente</v>
      </c>
    </row>
    <row r="20" spans="2:18" x14ac:dyDescent="0.25">
      <c r="B20" t="s">
        <v>40</v>
      </c>
      <c r="C20" t="s">
        <v>36</v>
      </c>
      <c r="D20" t="s">
        <v>42</v>
      </c>
      <c r="E20">
        <v>108126</v>
      </c>
      <c r="F20">
        <v>108126</v>
      </c>
      <c r="G20" t="s">
        <v>22</v>
      </c>
      <c r="H20">
        <v>7</v>
      </c>
      <c r="I20" t="s">
        <v>23</v>
      </c>
      <c r="J20" t="s">
        <v>24</v>
      </c>
      <c r="K20">
        <v>95</v>
      </c>
      <c r="L20">
        <v>24</v>
      </c>
      <c r="M20" t="s">
        <v>43</v>
      </c>
      <c r="N20" t="s">
        <v>26</v>
      </c>
      <c r="O20" t="s">
        <v>44</v>
      </c>
      <c r="P20" t="s">
        <v>72</v>
      </c>
      <c r="Q20" t="s">
        <v>73</v>
      </c>
      <c r="R20" t="str">
        <f>VLOOKUP(P20,Regiones!$A$1:$B$35,2,FALSE)</f>
        <v>Región Centro Occidente</v>
      </c>
    </row>
    <row r="21" spans="2:18" x14ac:dyDescent="0.25">
      <c r="B21" t="s">
        <v>40</v>
      </c>
      <c r="C21" t="s">
        <v>19</v>
      </c>
      <c r="D21" t="s">
        <v>42</v>
      </c>
      <c r="E21">
        <v>108129</v>
      </c>
      <c r="F21">
        <v>108129</v>
      </c>
      <c r="G21" t="s">
        <v>22</v>
      </c>
      <c r="H21">
        <v>7</v>
      </c>
      <c r="I21" t="s">
        <v>23</v>
      </c>
      <c r="J21" t="s">
        <v>24</v>
      </c>
      <c r="K21">
        <v>95</v>
      </c>
      <c r="L21">
        <v>24</v>
      </c>
      <c r="M21" t="s">
        <v>43</v>
      </c>
      <c r="N21" t="s">
        <v>26</v>
      </c>
      <c r="O21" t="s">
        <v>44</v>
      </c>
      <c r="P21" t="s">
        <v>74</v>
      </c>
      <c r="Q21" t="s">
        <v>75</v>
      </c>
      <c r="R21" t="str">
        <f>VLOOKUP(P21,Regiones!$A$1:$B$35,2,FALSE)</f>
        <v>Región Centro Oriente</v>
      </c>
    </row>
    <row r="22" spans="2:18" x14ac:dyDescent="0.25">
      <c r="B22" t="s">
        <v>76</v>
      </c>
      <c r="C22" t="s">
        <v>77</v>
      </c>
      <c r="D22" t="s">
        <v>42</v>
      </c>
      <c r="E22">
        <v>109017</v>
      </c>
      <c r="F22">
        <v>109017</v>
      </c>
      <c r="G22" t="s">
        <v>32</v>
      </c>
      <c r="H22">
        <v>7</v>
      </c>
      <c r="I22" t="s">
        <v>23</v>
      </c>
      <c r="J22" t="s">
        <v>24</v>
      </c>
      <c r="K22">
        <v>101</v>
      </c>
      <c r="L22">
        <v>6</v>
      </c>
      <c r="M22" t="s">
        <v>25</v>
      </c>
      <c r="N22" t="s">
        <v>39</v>
      </c>
      <c r="O22" t="s">
        <v>25</v>
      </c>
      <c r="P22" t="s">
        <v>66</v>
      </c>
      <c r="Q22" t="s">
        <v>78</v>
      </c>
      <c r="R22" t="str">
        <f>VLOOKUP(P22,Regiones!$A$1:$B$35,2,FALSE)</f>
        <v>Región Centro Oriente</v>
      </c>
    </row>
    <row r="23" spans="2:18" x14ac:dyDescent="0.25">
      <c r="B23" t="s">
        <v>40</v>
      </c>
      <c r="C23" t="s">
        <v>79</v>
      </c>
      <c r="D23" t="s">
        <v>42</v>
      </c>
      <c r="E23">
        <v>109065</v>
      </c>
      <c r="F23">
        <v>109065</v>
      </c>
      <c r="G23" t="s">
        <v>22</v>
      </c>
      <c r="H23">
        <v>7</v>
      </c>
      <c r="I23" t="s">
        <v>23</v>
      </c>
      <c r="J23" t="s">
        <v>24</v>
      </c>
      <c r="K23">
        <v>95</v>
      </c>
      <c r="L23">
        <v>8</v>
      </c>
      <c r="M23" t="s">
        <v>44</v>
      </c>
      <c r="N23" t="s">
        <v>26</v>
      </c>
      <c r="O23" t="s">
        <v>44</v>
      </c>
      <c r="P23" t="s">
        <v>60</v>
      </c>
      <c r="Q23" t="s">
        <v>61</v>
      </c>
      <c r="R23" t="str">
        <f>VLOOKUP(P23,Regiones!$A$1:$B$35,2,FALSE)</f>
        <v>Región Centro Occidente</v>
      </c>
    </row>
    <row r="24" spans="2:18" x14ac:dyDescent="0.25">
      <c r="B24" t="s">
        <v>80</v>
      </c>
      <c r="C24" t="s">
        <v>38</v>
      </c>
      <c r="D24" t="s">
        <v>42</v>
      </c>
      <c r="E24">
        <v>109236</v>
      </c>
      <c r="F24">
        <v>109236</v>
      </c>
      <c r="G24" t="s">
        <v>22</v>
      </c>
      <c r="H24">
        <v>7</v>
      </c>
      <c r="I24" t="s">
        <v>23</v>
      </c>
      <c r="J24" t="s">
        <v>24</v>
      </c>
      <c r="K24">
        <v>97</v>
      </c>
      <c r="L24">
        <v>6</v>
      </c>
      <c r="M24" t="s">
        <v>25</v>
      </c>
      <c r="N24" t="s">
        <v>39</v>
      </c>
      <c r="O24" t="s">
        <v>25</v>
      </c>
      <c r="P24" t="s">
        <v>33</v>
      </c>
      <c r="Q24" t="s">
        <v>33</v>
      </c>
      <c r="R24" t="str">
        <f>VLOOKUP(P24,Regiones!$A$1:$B$35,2,FALSE)</f>
        <v>Región Bogotá</v>
      </c>
    </row>
    <row r="25" spans="2:18" x14ac:dyDescent="0.25">
      <c r="B25" t="s">
        <v>81</v>
      </c>
      <c r="C25" t="s">
        <v>82</v>
      </c>
      <c r="D25" t="s">
        <v>42</v>
      </c>
      <c r="E25">
        <v>109448</v>
      </c>
      <c r="F25">
        <v>109448</v>
      </c>
      <c r="G25" t="s">
        <v>22</v>
      </c>
      <c r="H25">
        <v>7</v>
      </c>
      <c r="I25" t="s">
        <v>23</v>
      </c>
      <c r="J25" t="s">
        <v>24</v>
      </c>
      <c r="K25">
        <v>110</v>
      </c>
      <c r="L25">
        <v>6</v>
      </c>
      <c r="M25" t="s">
        <v>25</v>
      </c>
      <c r="N25" t="s">
        <v>26</v>
      </c>
      <c r="O25" t="s">
        <v>25</v>
      </c>
      <c r="P25" t="s">
        <v>83</v>
      </c>
      <c r="Q25" t="s">
        <v>84</v>
      </c>
      <c r="R25" t="str">
        <f>VLOOKUP(P25,Regiones!$A$1:$B$35,2,FALSE)</f>
        <v>Región Centro Oriente</v>
      </c>
    </row>
    <row r="26" spans="2:18" x14ac:dyDescent="0.25">
      <c r="B26" t="s">
        <v>85</v>
      </c>
      <c r="C26" t="s">
        <v>46</v>
      </c>
      <c r="D26" t="s">
        <v>42</v>
      </c>
      <c r="E26">
        <v>109789</v>
      </c>
      <c r="F26">
        <v>109789</v>
      </c>
      <c r="G26" t="s">
        <v>22</v>
      </c>
      <c r="H26">
        <v>7</v>
      </c>
      <c r="I26" t="s">
        <v>23</v>
      </c>
      <c r="J26" t="s">
        <v>86</v>
      </c>
      <c r="K26">
        <v>90</v>
      </c>
      <c r="L26">
        <v>5</v>
      </c>
      <c r="M26" t="s">
        <v>25</v>
      </c>
      <c r="N26" t="s">
        <v>26</v>
      </c>
      <c r="O26" t="s">
        <v>25</v>
      </c>
      <c r="P26" t="s">
        <v>33</v>
      </c>
      <c r="Q26" t="s">
        <v>33</v>
      </c>
      <c r="R26" t="str">
        <f>VLOOKUP(P26,Regiones!$A$1:$B$35,2,FALSE)</f>
        <v>Región Bogotá</v>
      </c>
    </row>
    <row r="27" spans="2:18" x14ac:dyDescent="0.25">
      <c r="B27" t="s">
        <v>87</v>
      </c>
      <c r="C27" t="s">
        <v>88</v>
      </c>
      <c r="D27" t="s">
        <v>20</v>
      </c>
      <c r="E27">
        <v>110020</v>
      </c>
      <c r="F27">
        <v>110020</v>
      </c>
      <c r="G27" t="s">
        <v>22</v>
      </c>
      <c r="H27">
        <v>7</v>
      </c>
      <c r="I27" t="s">
        <v>23</v>
      </c>
      <c r="J27" t="s">
        <v>24</v>
      </c>
      <c r="K27">
        <v>90</v>
      </c>
      <c r="L27">
        <v>5</v>
      </c>
      <c r="M27" t="s">
        <v>25</v>
      </c>
      <c r="N27" t="s">
        <v>26</v>
      </c>
      <c r="O27" t="s">
        <v>25</v>
      </c>
      <c r="P27" t="s">
        <v>33</v>
      </c>
      <c r="Q27" t="s">
        <v>33</v>
      </c>
      <c r="R27" t="str">
        <f>VLOOKUP(P27,Regiones!$A$1:$B$35,2,FALSE)</f>
        <v>Región Bogotá</v>
      </c>
    </row>
    <row r="28" spans="2:18" x14ac:dyDescent="0.25">
      <c r="B28" t="s">
        <v>40</v>
      </c>
      <c r="C28" t="s">
        <v>89</v>
      </c>
      <c r="D28" t="s">
        <v>42</v>
      </c>
      <c r="E28">
        <v>110051</v>
      </c>
      <c r="F28">
        <v>110051</v>
      </c>
      <c r="G28" t="s">
        <v>22</v>
      </c>
      <c r="H28">
        <v>7</v>
      </c>
      <c r="I28" t="s">
        <v>23</v>
      </c>
      <c r="J28" t="s">
        <v>24</v>
      </c>
      <c r="K28">
        <v>83</v>
      </c>
      <c r="L28">
        <v>9</v>
      </c>
      <c r="M28" t="s">
        <v>44</v>
      </c>
      <c r="N28" t="s">
        <v>26</v>
      </c>
      <c r="O28" t="s">
        <v>44</v>
      </c>
      <c r="P28" t="s">
        <v>66</v>
      </c>
      <c r="Q28" t="s">
        <v>67</v>
      </c>
      <c r="R28" t="str">
        <f>VLOOKUP(P28,Regiones!$A$1:$B$35,2,FALSE)</f>
        <v>Región Centro Oriente</v>
      </c>
    </row>
    <row r="29" spans="2:18" x14ac:dyDescent="0.25">
      <c r="B29" t="s">
        <v>90</v>
      </c>
      <c r="C29" t="s">
        <v>91</v>
      </c>
      <c r="D29" t="s">
        <v>42</v>
      </c>
      <c r="E29">
        <v>110055</v>
      </c>
      <c r="F29">
        <v>52690</v>
      </c>
      <c r="G29" t="s">
        <v>22</v>
      </c>
      <c r="H29">
        <v>7</v>
      </c>
      <c r="I29" t="s">
        <v>23</v>
      </c>
      <c r="J29" t="s">
        <v>92</v>
      </c>
      <c r="K29">
        <v>81</v>
      </c>
      <c r="L29">
        <v>6</v>
      </c>
      <c r="M29" t="s">
        <v>25</v>
      </c>
      <c r="N29" t="s">
        <v>26</v>
      </c>
      <c r="O29" t="s">
        <v>25</v>
      </c>
      <c r="P29" t="s">
        <v>27</v>
      </c>
      <c r="Q29" t="s">
        <v>28</v>
      </c>
      <c r="R29" t="str">
        <f>VLOOKUP(P29,Regiones!$A$1:$B$35,2,FALSE)</f>
        <v>Región Centro Occidente</v>
      </c>
    </row>
    <row r="30" spans="2:18" x14ac:dyDescent="0.25">
      <c r="B30" t="s">
        <v>40</v>
      </c>
      <c r="C30" t="s">
        <v>89</v>
      </c>
      <c r="D30" t="s">
        <v>42</v>
      </c>
      <c r="E30">
        <v>110139</v>
      </c>
      <c r="F30">
        <v>110139</v>
      </c>
      <c r="G30" t="s">
        <v>22</v>
      </c>
      <c r="H30">
        <v>7</v>
      </c>
      <c r="I30" t="s">
        <v>23</v>
      </c>
      <c r="J30" t="s">
        <v>24</v>
      </c>
      <c r="K30">
        <v>83</v>
      </c>
      <c r="L30">
        <v>9</v>
      </c>
      <c r="M30" t="s">
        <v>44</v>
      </c>
      <c r="N30" t="s">
        <v>26</v>
      </c>
      <c r="O30" t="s">
        <v>44</v>
      </c>
      <c r="P30" t="s">
        <v>93</v>
      </c>
      <c r="Q30" t="s">
        <v>94</v>
      </c>
      <c r="R30" t="str">
        <f>VLOOKUP(P30,Regiones!$A$1:$B$35,2,FALSE)</f>
        <v>Región Centro Oriente</v>
      </c>
    </row>
    <row r="31" spans="2:18" x14ac:dyDescent="0.25">
      <c r="B31" t="s">
        <v>40</v>
      </c>
      <c r="C31" t="s">
        <v>89</v>
      </c>
      <c r="D31" t="s">
        <v>42</v>
      </c>
      <c r="E31">
        <v>110167</v>
      </c>
      <c r="F31">
        <v>110167</v>
      </c>
      <c r="G31" t="s">
        <v>22</v>
      </c>
      <c r="H31">
        <v>7</v>
      </c>
      <c r="I31" t="s">
        <v>23</v>
      </c>
      <c r="J31" t="s">
        <v>24</v>
      </c>
      <c r="K31">
        <v>83</v>
      </c>
      <c r="L31">
        <v>9</v>
      </c>
      <c r="M31" t="s">
        <v>44</v>
      </c>
      <c r="N31" t="s">
        <v>26</v>
      </c>
      <c r="O31" t="s">
        <v>44</v>
      </c>
      <c r="P31" t="s">
        <v>95</v>
      </c>
      <c r="Q31" t="s">
        <v>96</v>
      </c>
      <c r="R31" t="str">
        <f>VLOOKUP(P31,Regiones!$A$1:$B$35,2,FALSE)</f>
        <v>Región Centro Occidente</v>
      </c>
    </row>
    <row r="32" spans="2:18" x14ac:dyDescent="0.25">
      <c r="B32" t="s">
        <v>40</v>
      </c>
      <c r="C32" t="s">
        <v>89</v>
      </c>
      <c r="D32" t="s">
        <v>42</v>
      </c>
      <c r="E32">
        <v>110214</v>
      </c>
      <c r="F32">
        <v>110214</v>
      </c>
      <c r="G32" t="s">
        <v>22</v>
      </c>
      <c r="H32">
        <v>7</v>
      </c>
      <c r="I32" t="s">
        <v>23</v>
      </c>
      <c r="J32" t="s">
        <v>24</v>
      </c>
      <c r="K32">
        <v>83</v>
      </c>
      <c r="L32">
        <v>9</v>
      </c>
      <c r="M32" t="s">
        <v>44</v>
      </c>
      <c r="N32" t="s">
        <v>26</v>
      </c>
      <c r="O32" t="s">
        <v>44</v>
      </c>
      <c r="P32" t="s">
        <v>47</v>
      </c>
      <c r="Q32" t="s">
        <v>71</v>
      </c>
      <c r="R32" t="str">
        <f>VLOOKUP(P32,Regiones!$A$1:$B$35,2,FALSE)</f>
        <v>Región Centro Occidente</v>
      </c>
    </row>
    <row r="33" spans="2:18" x14ac:dyDescent="0.25">
      <c r="B33" t="s">
        <v>40</v>
      </c>
      <c r="C33" t="s">
        <v>89</v>
      </c>
      <c r="D33" t="s">
        <v>42</v>
      </c>
      <c r="E33">
        <v>110219</v>
      </c>
      <c r="F33">
        <v>110219</v>
      </c>
      <c r="G33" t="s">
        <v>22</v>
      </c>
      <c r="H33">
        <v>7</v>
      </c>
      <c r="I33" t="s">
        <v>23</v>
      </c>
      <c r="J33" t="s">
        <v>24</v>
      </c>
      <c r="K33">
        <v>83</v>
      </c>
      <c r="L33">
        <v>9</v>
      </c>
      <c r="M33" t="s">
        <v>44</v>
      </c>
      <c r="N33" t="s">
        <v>26</v>
      </c>
      <c r="O33" t="s">
        <v>44</v>
      </c>
      <c r="P33" t="s">
        <v>33</v>
      </c>
      <c r="Q33" t="s">
        <v>33</v>
      </c>
      <c r="R33" t="str">
        <f>VLOOKUP(P33,Regiones!$A$1:$B$35,2,FALSE)</f>
        <v>Región Bogotá</v>
      </c>
    </row>
    <row r="34" spans="2:18" x14ac:dyDescent="0.25">
      <c r="B34" t="s">
        <v>97</v>
      </c>
      <c r="C34" t="s">
        <v>98</v>
      </c>
      <c r="D34" t="s">
        <v>42</v>
      </c>
      <c r="E34">
        <v>91404</v>
      </c>
      <c r="F34">
        <v>91404</v>
      </c>
      <c r="G34" t="s">
        <v>32</v>
      </c>
      <c r="H34">
        <v>6</v>
      </c>
      <c r="I34" t="s">
        <v>23</v>
      </c>
      <c r="J34" t="s">
        <v>24</v>
      </c>
      <c r="K34">
        <v>132</v>
      </c>
      <c r="L34">
        <v>9</v>
      </c>
      <c r="M34" t="s">
        <v>99</v>
      </c>
      <c r="N34" t="s">
        <v>39</v>
      </c>
      <c r="O34" t="s">
        <v>99</v>
      </c>
      <c r="P34" t="s">
        <v>100</v>
      </c>
      <c r="Q34" t="s">
        <v>101</v>
      </c>
      <c r="R34" t="str">
        <f>VLOOKUP(P34,Regiones!$A$1:$B$35,2,FALSE)</f>
        <v>Región Norte</v>
      </c>
    </row>
    <row r="35" spans="2:18" x14ac:dyDescent="0.25">
      <c r="B35" t="s">
        <v>103</v>
      </c>
      <c r="C35" t="s">
        <v>104</v>
      </c>
      <c r="D35" t="s">
        <v>20</v>
      </c>
      <c r="E35">
        <v>105649</v>
      </c>
      <c r="F35">
        <v>105649</v>
      </c>
      <c r="G35" t="s">
        <v>22</v>
      </c>
      <c r="H35">
        <v>7</v>
      </c>
      <c r="I35" t="s">
        <v>23</v>
      </c>
      <c r="J35" t="s">
        <v>24</v>
      </c>
      <c r="K35">
        <v>109</v>
      </c>
      <c r="L35">
        <v>6</v>
      </c>
      <c r="M35" t="s">
        <v>25</v>
      </c>
      <c r="N35" t="s">
        <v>39</v>
      </c>
      <c r="O35" t="s">
        <v>25</v>
      </c>
      <c r="P35" t="s">
        <v>105</v>
      </c>
      <c r="Q35" t="s">
        <v>106</v>
      </c>
      <c r="R35" t="str">
        <f>VLOOKUP(P35,Regiones!$A$1:$B$35,2,FALSE)</f>
        <v>Región Norte</v>
      </c>
    </row>
    <row r="36" spans="2:18" x14ac:dyDescent="0.25">
      <c r="B36" t="s">
        <v>40</v>
      </c>
      <c r="C36" t="s">
        <v>36</v>
      </c>
      <c r="D36" t="s">
        <v>42</v>
      </c>
      <c r="E36">
        <v>108049</v>
      </c>
      <c r="F36">
        <v>108049</v>
      </c>
      <c r="G36" t="s">
        <v>22</v>
      </c>
      <c r="H36">
        <v>7</v>
      </c>
      <c r="I36" t="s">
        <v>23</v>
      </c>
      <c r="J36" t="s">
        <v>24</v>
      </c>
      <c r="K36">
        <v>95</v>
      </c>
      <c r="L36">
        <v>24</v>
      </c>
      <c r="M36" t="s">
        <v>43</v>
      </c>
      <c r="N36" t="s">
        <v>26</v>
      </c>
      <c r="O36" t="s">
        <v>44</v>
      </c>
      <c r="P36" t="s">
        <v>105</v>
      </c>
      <c r="Q36" t="s">
        <v>106</v>
      </c>
      <c r="R36" t="str">
        <f>VLOOKUP(P36,Regiones!$A$1:$B$35,2,FALSE)</f>
        <v>Región Norte</v>
      </c>
    </row>
    <row r="37" spans="2:18" x14ac:dyDescent="0.25">
      <c r="B37" t="s">
        <v>40</v>
      </c>
      <c r="C37" t="s">
        <v>41</v>
      </c>
      <c r="D37" t="s">
        <v>42</v>
      </c>
      <c r="E37">
        <v>108120</v>
      </c>
      <c r="F37">
        <v>108120</v>
      </c>
      <c r="G37" t="s">
        <v>22</v>
      </c>
      <c r="H37">
        <v>7</v>
      </c>
      <c r="I37" t="s">
        <v>23</v>
      </c>
      <c r="J37" t="s">
        <v>24</v>
      </c>
      <c r="K37">
        <v>95</v>
      </c>
      <c r="L37">
        <v>24</v>
      </c>
      <c r="M37" t="s">
        <v>43</v>
      </c>
      <c r="N37" t="s">
        <v>26</v>
      </c>
      <c r="O37" t="s">
        <v>44</v>
      </c>
      <c r="P37" t="s">
        <v>100</v>
      </c>
      <c r="Q37" t="s">
        <v>101</v>
      </c>
      <c r="R37" t="str">
        <f>VLOOKUP(P37,Regiones!$A$1:$B$35,2,FALSE)</f>
        <v>Región Norte</v>
      </c>
    </row>
    <row r="38" spans="2:18" x14ac:dyDescent="0.25">
      <c r="B38" t="s">
        <v>40</v>
      </c>
      <c r="C38" t="s">
        <v>79</v>
      </c>
      <c r="D38" t="s">
        <v>42</v>
      </c>
      <c r="E38">
        <v>108601</v>
      </c>
      <c r="F38">
        <v>108601</v>
      </c>
      <c r="G38" t="s">
        <v>22</v>
      </c>
      <c r="H38">
        <v>7</v>
      </c>
      <c r="I38" t="s">
        <v>23</v>
      </c>
      <c r="J38" t="s">
        <v>24</v>
      </c>
      <c r="K38">
        <v>95</v>
      </c>
      <c r="L38">
        <v>24</v>
      </c>
      <c r="M38" t="s">
        <v>43</v>
      </c>
      <c r="N38" t="s">
        <v>26</v>
      </c>
      <c r="O38" t="s">
        <v>44</v>
      </c>
      <c r="P38" t="s">
        <v>107</v>
      </c>
      <c r="Q38" t="s">
        <v>108</v>
      </c>
      <c r="R38" t="str">
        <f>VLOOKUP(P38,Regiones!$A$1:$B$35,2,FALSE)</f>
        <v>Región Norte</v>
      </c>
    </row>
    <row r="39" spans="2:18" x14ac:dyDescent="0.25">
      <c r="B39" t="s">
        <v>40</v>
      </c>
      <c r="C39" t="s">
        <v>19</v>
      </c>
      <c r="D39" t="s">
        <v>42</v>
      </c>
      <c r="E39">
        <v>108117</v>
      </c>
      <c r="F39">
        <v>108117</v>
      </c>
      <c r="G39" t="s">
        <v>22</v>
      </c>
      <c r="H39">
        <v>7</v>
      </c>
      <c r="I39" t="s">
        <v>23</v>
      </c>
      <c r="J39" t="s">
        <v>24</v>
      </c>
      <c r="K39">
        <v>95</v>
      </c>
      <c r="L39">
        <v>24</v>
      </c>
      <c r="M39" t="s">
        <v>43</v>
      </c>
      <c r="N39" t="s">
        <v>26</v>
      </c>
      <c r="O39" t="s">
        <v>44</v>
      </c>
      <c r="P39" t="s">
        <v>109</v>
      </c>
      <c r="Q39" t="s">
        <v>110</v>
      </c>
      <c r="R39" t="str">
        <f>VLOOKUP(P39,Regiones!$A$1:$B$35,2,FALSE)</f>
        <v>Región Sur Oriente</v>
      </c>
    </row>
    <row r="40" spans="2:18" x14ac:dyDescent="0.25">
      <c r="B40" t="s">
        <v>40</v>
      </c>
      <c r="C40" t="s">
        <v>111</v>
      </c>
      <c r="D40" t="s">
        <v>42</v>
      </c>
      <c r="E40">
        <v>110192</v>
      </c>
      <c r="F40">
        <v>110192</v>
      </c>
      <c r="G40" t="s">
        <v>22</v>
      </c>
      <c r="H40">
        <v>7</v>
      </c>
      <c r="I40" t="s">
        <v>23</v>
      </c>
      <c r="J40" t="s">
        <v>24</v>
      </c>
      <c r="K40">
        <v>95</v>
      </c>
      <c r="L40">
        <v>24</v>
      </c>
      <c r="M40" t="s">
        <v>43</v>
      </c>
      <c r="N40" t="s">
        <v>26</v>
      </c>
      <c r="O40" t="s">
        <v>44</v>
      </c>
      <c r="P40" t="s">
        <v>109</v>
      </c>
      <c r="Q40" t="s">
        <v>110</v>
      </c>
      <c r="R40" t="str">
        <f>VLOOKUP(P40,Regiones!$A$1:$B$35,2,FALSE)</f>
        <v>Región Sur Oriente</v>
      </c>
    </row>
    <row r="41" spans="2:18" x14ac:dyDescent="0.25">
      <c r="B41" t="s">
        <v>112</v>
      </c>
      <c r="C41" t="s">
        <v>38</v>
      </c>
      <c r="D41" t="s">
        <v>42</v>
      </c>
      <c r="E41">
        <v>12198</v>
      </c>
      <c r="F41" t="s">
        <v>113</v>
      </c>
      <c r="G41" t="s">
        <v>32</v>
      </c>
      <c r="H41">
        <v>4</v>
      </c>
      <c r="I41" t="s">
        <v>23</v>
      </c>
      <c r="J41" t="s">
        <v>24</v>
      </c>
      <c r="K41">
        <v>99</v>
      </c>
      <c r="L41">
        <v>7</v>
      </c>
      <c r="M41" t="s">
        <v>25</v>
      </c>
      <c r="N41" t="s">
        <v>26</v>
      </c>
      <c r="O41" t="s">
        <v>25</v>
      </c>
      <c r="P41" t="s">
        <v>114</v>
      </c>
      <c r="Q41" t="s">
        <v>115</v>
      </c>
      <c r="R41" t="str">
        <f>VLOOKUP(P41,Regiones!$A$1:$B$35,2,FALSE)</f>
        <v>Región Occidente</v>
      </c>
    </row>
    <row r="42" spans="2:18" x14ac:dyDescent="0.25">
      <c r="B42" t="s">
        <v>116</v>
      </c>
      <c r="C42" t="s">
        <v>38</v>
      </c>
      <c r="D42" t="s">
        <v>20</v>
      </c>
      <c r="E42">
        <v>101749</v>
      </c>
      <c r="F42">
        <v>101749</v>
      </c>
      <c r="G42" t="s">
        <v>22</v>
      </c>
      <c r="H42">
        <v>7</v>
      </c>
      <c r="I42" t="s">
        <v>23</v>
      </c>
      <c r="J42" t="s">
        <v>24</v>
      </c>
      <c r="K42">
        <v>99</v>
      </c>
      <c r="L42">
        <v>6</v>
      </c>
      <c r="M42" t="s">
        <v>25</v>
      </c>
      <c r="N42" t="s">
        <v>26</v>
      </c>
      <c r="O42" t="s">
        <v>25</v>
      </c>
      <c r="P42" t="s">
        <v>114</v>
      </c>
      <c r="Q42" t="s">
        <v>115</v>
      </c>
      <c r="R42" t="str">
        <f>VLOOKUP(P42,Regiones!$A$1:$B$35,2,FALSE)</f>
        <v>Región Occidente</v>
      </c>
    </row>
    <row r="43" spans="2:18" x14ac:dyDescent="0.25">
      <c r="B43" t="s">
        <v>117</v>
      </c>
      <c r="C43" t="s">
        <v>118</v>
      </c>
      <c r="D43" t="s">
        <v>20</v>
      </c>
      <c r="E43">
        <v>103049</v>
      </c>
      <c r="F43">
        <v>103049</v>
      </c>
      <c r="G43" t="s">
        <v>22</v>
      </c>
      <c r="H43">
        <v>8</v>
      </c>
      <c r="I43" t="s">
        <v>23</v>
      </c>
      <c r="J43" t="s">
        <v>24</v>
      </c>
      <c r="K43">
        <v>100</v>
      </c>
      <c r="L43">
        <v>6</v>
      </c>
      <c r="M43" t="s">
        <v>25</v>
      </c>
      <c r="N43" t="s">
        <v>26</v>
      </c>
      <c r="O43" t="s">
        <v>25</v>
      </c>
      <c r="P43" t="s">
        <v>114</v>
      </c>
      <c r="Q43" t="s">
        <v>115</v>
      </c>
      <c r="R43" t="str">
        <f>VLOOKUP(P43,Regiones!$A$1:$B$35,2,FALSE)</f>
        <v>Región Occidente</v>
      </c>
    </row>
    <row r="44" spans="2:18" x14ac:dyDescent="0.25">
      <c r="B44" t="s">
        <v>119</v>
      </c>
      <c r="C44" t="s">
        <v>120</v>
      </c>
      <c r="D44" t="s">
        <v>20</v>
      </c>
      <c r="E44">
        <v>103358</v>
      </c>
      <c r="F44">
        <v>103358</v>
      </c>
      <c r="G44" t="s">
        <v>22</v>
      </c>
      <c r="H44">
        <v>8</v>
      </c>
      <c r="I44" t="s">
        <v>23</v>
      </c>
      <c r="J44" t="s">
        <v>24</v>
      </c>
      <c r="K44">
        <v>108</v>
      </c>
      <c r="L44">
        <v>6</v>
      </c>
      <c r="M44" t="s">
        <v>25</v>
      </c>
      <c r="N44" t="s">
        <v>26</v>
      </c>
      <c r="O44" t="s">
        <v>25</v>
      </c>
      <c r="P44" t="s">
        <v>114</v>
      </c>
      <c r="Q44" t="s">
        <v>115</v>
      </c>
      <c r="R44" t="str">
        <f>VLOOKUP(P44,Regiones!$A$1:$B$35,2,FALSE)</f>
        <v>Región Occidente</v>
      </c>
    </row>
    <row r="45" spans="2:18" x14ac:dyDescent="0.25">
      <c r="B45" t="s">
        <v>40</v>
      </c>
      <c r="C45" t="s">
        <v>36</v>
      </c>
      <c r="D45" t="s">
        <v>42</v>
      </c>
      <c r="E45">
        <v>107837</v>
      </c>
      <c r="F45">
        <v>107837</v>
      </c>
      <c r="G45" t="s">
        <v>22</v>
      </c>
      <c r="H45">
        <v>7</v>
      </c>
      <c r="I45" t="s">
        <v>23</v>
      </c>
      <c r="J45" t="s">
        <v>24</v>
      </c>
      <c r="K45">
        <v>96</v>
      </c>
      <c r="L45">
        <v>24</v>
      </c>
      <c r="M45" t="s">
        <v>43</v>
      </c>
      <c r="N45" t="s">
        <v>26</v>
      </c>
      <c r="O45" t="s">
        <v>44</v>
      </c>
      <c r="P45" t="s">
        <v>114</v>
      </c>
      <c r="Q45" t="s">
        <v>115</v>
      </c>
      <c r="R45" t="str">
        <f>VLOOKUP(P45,Regiones!$A$1:$B$35,2,FALSE)</f>
        <v>Región Occidente</v>
      </c>
    </row>
    <row r="46" spans="2:18" x14ac:dyDescent="0.25">
      <c r="B46" t="s">
        <v>40</v>
      </c>
      <c r="C46" t="s">
        <v>19</v>
      </c>
      <c r="D46" t="s">
        <v>42</v>
      </c>
      <c r="E46">
        <v>108128</v>
      </c>
      <c r="F46">
        <v>108128</v>
      </c>
      <c r="G46" t="s">
        <v>22</v>
      </c>
      <c r="H46">
        <v>7</v>
      </c>
      <c r="I46" t="s">
        <v>23</v>
      </c>
      <c r="J46" t="s">
        <v>24</v>
      </c>
      <c r="K46">
        <v>95</v>
      </c>
      <c r="L46">
        <v>24</v>
      </c>
      <c r="M46" t="s">
        <v>43</v>
      </c>
      <c r="N46" t="s">
        <v>26</v>
      </c>
      <c r="O46" t="s">
        <v>44</v>
      </c>
      <c r="P46" t="s">
        <v>121</v>
      </c>
      <c r="Q46" t="s">
        <v>122</v>
      </c>
      <c r="R46" t="str">
        <f>VLOOKUP(P46,Regiones!$A$1:$B$35,2,FALSE)</f>
        <v>Región Occidente</v>
      </c>
    </row>
    <row r="47" spans="2:18" x14ac:dyDescent="0.25">
      <c r="B47" t="s">
        <v>40</v>
      </c>
      <c r="C47" t="s">
        <v>36</v>
      </c>
      <c r="D47" t="s">
        <v>42</v>
      </c>
      <c r="E47">
        <v>108387</v>
      </c>
      <c r="F47">
        <v>108387</v>
      </c>
      <c r="G47" t="s">
        <v>22</v>
      </c>
      <c r="H47">
        <v>7</v>
      </c>
      <c r="I47" t="s">
        <v>23</v>
      </c>
      <c r="J47" t="s">
        <v>24</v>
      </c>
      <c r="K47">
        <v>95</v>
      </c>
      <c r="L47">
        <v>24</v>
      </c>
      <c r="M47" t="s">
        <v>43</v>
      </c>
      <c r="N47" t="s">
        <v>26</v>
      </c>
      <c r="O47" t="s">
        <v>44</v>
      </c>
      <c r="P47" t="s">
        <v>123</v>
      </c>
      <c r="Q47" t="s">
        <v>124</v>
      </c>
      <c r="R47" t="str">
        <f>VLOOKUP(P47,Regiones!$A$1:$B$35,2,FALSE)</f>
        <v>Región Occidente</v>
      </c>
    </row>
    <row r="48" spans="2:18" x14ac:dyDescent="0.25">
      <c r="B48" t="s">
        <v>125</v>
      </c>
      <c r="C48" t="s">
        <v>38</v>
      </c>
      <c r="D48" t="s">
        <v>42</v>
      </c>
      <c r="E48">
        <v>108949</v>
      </c>
      <c r="F48">
        <v>108949</v>
      </c>
      <c r="G48" t="s">
        <v>22</v>
      </c>
      <c r="H48">
        <v>7</v>
      </c>
      <c r="I48" t="s">
        <v>23</v>
      </c>
      <c r="J48" t="s">
        <v>24</v>
      </c>
      <c r="K48">
        <v>95</v>
      </c>
      <c r="L48">
        <v>6</v>
      </c>
      <c r="M48" t="s">
        <v>25</v>
      </c>
      <c r="N48" t="s">
        <v>26</v>
      </c>
      <c r="O48" t="s">
        <v>126</v>
      </c>
      <c r="P48" t="s">
        <v>114</v>
      </c>
      <c r="Q48" t="s">
        <v>127</v>
      </c>
      <c r="R48" t="str">
        <f>VLOOKUP(P48,Regiones!$A$1:$B$35,2,FALSE)</f>
        <v>Región Occidente</v>
      </c>
    </row>
    <row r="49" spans="2:18" x14ac:dyDescent="0.25">
      <c r="B49" t="s">
        <v>125</v>
      </c>
      <c r="C49" t="s">
        <v>38</v>
      </c>
      <c r="D49" t="s">
        <v>42</v>
      </c>
      <c r="E49">
        <v>109003</v>
      </c>
      <c r="F49">
        <v>109003</v>
      </c>
      <c r="G49" t="s">
        <v>22</v>
      </c>
      <c r="H49">
        <v>7</v>
      </c>
      <c r="I49" t="s">
        <v>23</v>
      </c>
      <c r="J49" t="s">
        <v>24</v>
      </c>
      <c r="K49">
        <v>95</v>
      </c>
      <c r="L49">
        <v>6</v>
      </c>
      <c r="M49" t="s">
        <v>25</v>
      </c>
      <c r="N49" t="s">
        <v>26</v>
      </c>
      <c r="O49" t="s">
        <v>25</v>
      </c>
      <c r="P49" t="s">
        <v>114</v>
      </c>
      <c r="Q49" t="s">
        <v>128</v>
      </c>
      <c r="R49" t="str">
        <f>VLOOKUP(P49,Regiones!$A$1:$B$35,2,FALSE)</f>
        <v>Región Occidente</v>
      </c>
    </row>
    <row r="50" spans="2:18" x14ac:dyDescent="0.25">
      <c r="B50" t="s">
        <v>125</v>
      </c>
      <c r="C50" t="s">
        <v>38</v>
      </c>
      <c r="D50" t="s">
        <v>42</v>
      </c>
      <c r="E50">
        <v>109528</v>
      </c>
      <c r="F50">
        <v>109528</v>
      </c>
      <c r="G50" t="s">
        <v>22</v>
      </c>
      <c r="H50">
        <v>7</v>
      </c>
      <c r="I50" t="s">
        <v>23</v>
      </c>
      <c r="J50" t="s">
        <v>24</v>
      </c>
      <c r="K50">
        <v>88</v>
      </c>
      <c r="L50">
        <v>7</v>
      </c>
      <c r="M50" t="s">
        <v>25</v>
      </c>
      <c r="N50" t="s">
        <v>26</v>
      </c>
      <c r="O50" t="s">
        <v>126</v>
      </c>
      <c r="P50" t="s">
        <v>114</v>
      </c>
      <c r="Q50" t="s">
        <v>129</v>
      </c>
      <c r="R50" t="str">
        <f>VLOOKUP(P50,Regiones!$A$1:$B$35,2,FALSE)</f>
        <v>Región Occidente</v>
      </c>
    </row>
    <row r="51" spans="2:18" x14ac:dyDescent="0.25">
      <c r="B51" t="s">
        <v>40</v>
      </c>
      <c r="C51" t="s">
        <v>89</v>
      </c>
      <c r="D51" t="s">
        <v>42</v>
      </c>
      <c r="E51">
        <v>109864</v>
      </c>
      <c r="F51">
        <v>109864</v>
      </c>
      <c r="G51" t="s">
        <v>22</v>
      </c>
      <c r="H51">
        <v>7</v>
      </c>
      <c r="I51" t="s">
        <v>23</v>
      </c>
      <c r="J51" t="s">
        <v>24</v>
      </c>
      <c r="K51">
        <v>83</v>
      </c>
      <c r="L51">
        <v>9</v>
      </c>
      <c r="M51" t="s">
        <v>44</v>
      </c>
      <c r="N51" t="s">
        <v>26</v>
      </c>
      <c r="O51" t="s">
        <v>44</v>
      </c>
      <c r="P51" t="s">
        <v>114</v>
      </c>
      <c r="Q51" t="s">
        <v>115</v>
      </c>
      <c r="R51" t="str">
        <f>VLOOKUP(P51,Regiones!$A$1:$B$35,2,FALSE)</f>
        <v>Región Occidente</v>
      </c>
    </row>
    <row r="52" spans="2:18" x14ac:dyDescent="0.25">
      <c r="B52" t="s">
        <v>40</v>
      </c>
      <c r="C52" t="s">
        <v>89</v>
      </c>
      <c r="D52" t="s">
        <v>42</v>
      </c>
      <c r="E52">
        <v>110083</v>
      </c>
      <c r="F52">
        <v>110083</v>
      </c>
      <c r="G52" t="s">
        <v>22</v>
      </c>
      <c r="H52">
        <v>7</v>
      </c>
      <c r="I52" t="s">
        <v>23</v>
      </c>
      <c r="J52" t="s">
        <v>24</v>
      </c>
      <c r="K52">
        <v>83</v>
      </c>
      <c r="L52">
        <v>27</v>
      </c>
      <c r="M52" t="s">
        <v>43</v>
      </c>
      <c r="N52" t="s">
        <v>26</v>
      </c>
      <c r="O52" t="s">
        <v>44</v>
      </c>
      <c r="P52" t="s">
        <v>123</v>
      </c>
      <c r="Q52" t="s">
        <v>124</v>
      </c>
      <c r="R52" t="str">
        <f>VLOOKUP(P52,Regiones!$A$1:$B$35,2,FALSE)</f>
        <v>Región Occidente</v>
      </c>
    </row>
    <row r="53" spans="2:18" x14ac:dyDescent="0.25">
      <c r="B53" t="s">
        <v>125</v>
      </c>
      <c r="C53" t="s">
        <v>38</v>
      </c>
      <c r="D53" t="s">
        <v>42</v>
      </c>
      <c r="E53">
        <v>110176</v>
      </c>
      <c r="F53">
        <v>110176</v>
      </c>
      <c r="G53" t="s">
        <v>22</v>
      </c>
      <c r="H53">
        <v>7</v>
      </c>
      <c r="I53" t="s">
        <v>23</v>
      </c>
      <c r="J53" t="s">
        <v>24</v>
      </c>
      <c r="K53">
        <v>95</v>
      </c>
      <c r="L53">
        <v>6</v>
      </c>
      <c r="M53" t="s">
        <v>25</v>
      </c>
      <c r="N53" t="s">
        <v>26</v>
      </c>
      <c r="O53" t="s">
        <v>25</v>
      </c>
      <c r="P53" t="s">
        <v>114</v>
      </c>
      <c r="Q53" t="s">
        <v>130</v>
      </c>
      <c r="R53" t="str">
        <f>VLOOKUP(P53,Regiones!$A$1:$B$35,2,FALSE)</f>
        <v>Región Occidente</v>
      </c>
    </row>
    <row r="54" spans="2:18" x14ac:dyDescent="0.25">
      <c r="B54" t="s">
        <v>125</v>
      </c>
      <c r="C54" t="s">
        <v>38</v>
      </c>
      <c r="D54" t="s">
        <v>42</v>
      </c>
      <c r="E54">
        <v>110871</v>
      </c>
      <c r="F54">
        <v>110871</v>
      </c>
      <c r="G54" t="s">
        <v>22</v>
      </c>
      <c r="H54">
        <v>7</v>
      </c>
      <c r="I54" t="s">
        <v>23</v>
      </c>
      <c r="J54" t="s">
        <v>24</v>
      </c>
      <c r="K54">
        <v>88</v>
      </c>
      <c r="L54">
        <v>7</v>
      </c>
      <c r="M54" t="s">
        <v>25</v>
      </c>
      <c r="N54" t="s">
        <v>26</v>
      </c>
      <c r="O54" t="s">
        <v>126</v>
      </c>
      <c r="P54" t="s">
        <v>114</v>
      </c>
      <c r="Q54" t="s">
        <v>131</v>
      </c>
      <c r="R54" t="str">
        <f>VLOOKUP(P54,Regiones!$A$1:$B$35,2,FALSE)</f>
        <v>Región Occidente</v>
      </c>
    </row>
    <row r="55" spans="2:18" x14ac:dyDescent="0.25">
      <c r="B55" t="s">
        <v>125</v>
      </c>
      <c r="C55" t="s">
        <v>38</v>
      </c>
      <c r="D55" t="s">
        <v>42</v>
      </c>
      <c r="E55" s="6">
        <v>110178</v>
      </c>
      <c r="F55" s="7" t="s">
        <v>150</v>
      </c>
      <c r="G55" t="s">
        <v>22</v>
      </c>
      <c r="H55">
        <v>7</v>
      </c>
      <c r="I55" t="s">
        <v>23</v>
      </c>
      <c r="J55" t="s">
        <v>24</v>
      </c>
      <c r="K55">
        <v>95</v>
      </c>
      <c r="L55">
        <v>7</v>
      </c>
      <c r="M55" t="s">
        <v>25</v>
      </c>
      <c r="N55" t="s">
        <v>39</v>
      </c>
      <c r="O55" t="s">
        <v>25</v>
      </c>
      <c r="P55" t="s">
        <v>114</v>
      </c>
      <c r="Q55" t="s">
        <v>115</v>
      </c>
      <c r="R55" t="str">
        <f>VLOOKUP(P55,Regiones!$A$1:$B$35,2,FALSE)</f>
        <v>Región Occidente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9B40-14CE-40D6-B5E3-E5FB35D3FBA7}">
  <dimension ref="A1:B34"/>
  <sheetViews>
    <sheetView workbookViewId="0">
      <selection activeCell="F14" sqref="F14"/>
    </sheetView>
  </sheetViews>
  <sheetFormatPr baseColWidth="10" defaultRowHeight="15" x14ac:dyDescent="0.25"/>
  <cols>
    <col min="1" max="1" width="16.42578125" customWidth="1"/>
    <col min="2" max="2" width="25.140625" customWidth="1"/>
  </cols>
  <sheetData>
    <row r="1" spans="1:2" ht="15.75" thickBot="1" x14ac:dyDescent="0.3">
      <c r="A1" s="2" t="s">
        <v>132</v>
      </c>
      <c r="B1" s="2" t="s">
        <v>133</v>
      </c>
    </row>
    <row r="2" spans="1:2" ht="15.75" thickBot="1" x14ac:dyDescent="0.3">
      <c r="A2" s="3" t="s">
        <v>60</v>
      </c>
      <c r="B2" s="3" t="s">
        <v>29</v>
      </c>
    </row>
    <row r="3" spans="1:2" ht="15.75" thickBot="1" x14ac:dyDescent="0.3">
      <c r="A3" s="3" t="s">
        <v>27</v>
      </c>
      <c r="B3" s="3" t="s">
        <v>29</v>
      </c>
    </row>
    <row r="4" spans="1:2" ht="15.75" thickBot="1" x14ac:dyDescent="0.3">
      <c r="A4" s="3" t="s">
        <v>52</v>
      </c>
      <c r="B4" s="3" t="s">
        <v>29</v>
      </c>
    </row>
    <row r="5" spans="1:2" ht="15.75" thickBot="1" x14ac:dyDescent="0.3">
      <c r="A5" s="3" t="s">
        <v>95</v>
      </c>
      <c r="B5" s="3" t="s">
        <v>29</v>
      </c>
    </row>
    <row r="6" spans="1:2" ht="15.75" thickBot="1" x14ac:dyDescent="0.3">
      <c r="A6" s="3" t="s">
        <v>72</v>
      </c>
      <c r="B6" s="3" t="s">
        <v>29</v>
      </c>
    </row>
    <row r="7" spans="1:2" ht="15.75" thickBot="1" x14ac:dyDescent="0.3">
      <c r="A7" s="3" t="s">
        <v>47</v>
      </c>
      <c r="B7" s="3" t="s">
        <v>29</v>
      </c>
    </row>
    <row r="8" spans="1:2" ht="15.75" thickBot="1" x14ac:dyDescent="0.3">
      <c r="A8" s="3" t="s">
        <v>74</v>
      </c>
      <c r="B8" s="3" t="s">
        <v>68</v>
      </c>
    </row>
    <row r="9" spans="1:2" ht="15.75" thickBot="1" x14ac:dyDescent="0.3">
      <c r="A9" s="3" t="s">
        <v>83</v>
      </c>
      <c r="B9" s="3" t="s">
        <v>68</v>
      </c>
    </row>
    <row r="10" spans="1:2" ht="26.25" thickBot="1" x14ac:dyDescent="0.3">
      <c r="A10" s="3" t="s">
        <v>93</v>
      </c>
      <c r="B10" s="3" t="s">
        <v>68</v>
      </c>
    </row>
    <row r="11" spans="1:2" ht="15.75" thickBot="1" x14ac:dyDescent="0.3">
      <c r="A11" s="3" t="s">
        <v>66</v>
      </c>
      <c r="B11" s="3" t="s">
        <v>68</v>
      </c>
    </row>
    <row r="12" spans="1:2" ht="15.75" thickBot="1" x14ac:dyDescent="0.3">
      <c r="A12" s="3" t="s">
        <v>100</v>
      </c>
      <c r="B12" s="3" t="s">
        <v>102</v>
      </c>
    </row>
    <row r="13" spans="1:2" ht="15.75" thickBot="1" x14ac:dyDescent="0.3">
      <c r="A13" s="3" t="s">
        <v>105</v>
      </c>
      <c r="B13" s="3" t="s">
        <v>102</v>
      </c>
    </row>
    <row r="14" spans="1:2" ht="15.75" thickBot="1" x14ac:dyDescent="0.3">
      <c r="A14" s="3" t="s">
        <v>134</v>
      </c>
      <c r="B14" s="3" t="s">
        <v>102</v>
      </c>
    </row>
    <row r="15" spans="1:2" ht="15.75" thickBot="1" x14ac:dyDescent="0.3">
      <c r="A15" s="3" t="s">
        <v>135</v>
      </c>
      <c r="B15" s="3" t="s">
        <v>102</v>
      </c>
    </row>
    <row r="16" spans="1:2" ht="15.75" thickBot="1" x14ac:dyDescent="0.3">
      <c r="A16" s="3" t="s">
        <v>107</v>
      </c>
      <c r="B16" s="3" t="s">
        <v>102</v>
      </c>
    </row>
    <row r="17" spans="1:2" ht="15.75" thickBot="1" x14ac:dyDescent="0.3">
      <c r="A17" s="3" t="s">
        <v>136</v>
      </c>
      <c r="B17" s="3" t="s">
        <v>102</v>
      </c>
    </row>
    <row r="18" spans="1:2" ht="15.75" thickBot="1" x14ac:dyDescent="0.3">
      <c r="A18" s="3" t="s">
        <v>137</v>
      </c>
      <c r="B18" s="3" t="s">
        <v>102</v>
      </c>
    </row>
    <row r="19" spans="1:2" ht="26.25" thickBot="1" x14ac:dyDescent="0.3">
      <c r="A19" s="3" t="s">
        <v>138</v>
      </c>
      <c r="B19" s="3" t="s">
        <v>102</v>
      </c>
    </row>
    <row r="20" spans="1:2" ht="15.75" thickBot="1" x14ac:dyDescent="0.3">
      <c r="A20" s="3" t="s">
        <v>123</v>
      </c>
      <c r="B20" s="3" t="s">
        <v>139</v>
      </c>
    </row>
    <row r="21" spans="1:2" ht="15.75" thickBot="1" x14ac:dyDescent="0.3">
      <c r="A21" s="3" t="s">
        <v>140</v>
      </c>
      <c r="B21" s="3" t="s">
        <v>139</v>
      </c>
    </row>
    <row r="22" spans="1:2" ht="15.75" thickBot="1" x14ac:dyDescent="0.3">
      <c r="A22" s="3" t="s">
        <v>121</v>
      </c>
      <c r="B22" s="3" t="s">
        <v>139</v>
      </c>
    </row>
    <row r="23" spans="1:2" ht="15.75" thickBot="1" x14ac:dyDescent="0.3">
      <c r="A23" s="3" t="s">
        <v>114</v>
      </c>
      <c r="B23" s="3" t="s">
        <v>139</v>
      </c>
    </row>
    <row r="24" spans="1:2" ht="15.75" thickBot="1" x14ac:dyDescent="0.3">
      <c r="A24" s="3" t="s">
        <v>141</v>
      </c>
      <c r="B24" s="3" t="s">
        <v>49</v>
      </c>
    </row>
    <row r="25" spans="1:2" ht="15.75" thickBot="1" x14ac:dyDescent="0.3">
      <c r="A25" s="3" t="s">
        <v>109</v>
      </c>
      <c r="B25" s="3" t="s">
        <v>49</v>
      </c>
    </row>
    <row r="26" spans="1:2" ht="15.75" thickBot="1" x14ac:dyDescent="0.3">
      <c r="A26" s="3" t="s">
        <v>142</v>
      </c>
      <c r="B26" s="3" t="s">
        <v>49</v>
      </c>
    </row>
    <row r="27" spans="1:2" ht="15.75" thickBot="1" x14ac:dyDescent="0.3">
      <c r="A27" s="3" t="s">
        <v>143</v>
      </c>
      <c r="B27" s="3" t="s">
        <v>49</v>
      </c>
    </row>
    <row r="28" spans="1:2" ht="15.75" thickBot="1" x14ac:dyDescent="0.3">
      <c r="A28" s="3" t="s">
        <v>144</v>
      </c>
      <c r="B28" s="3" t="s">
        <v>49</v>
      </c>
    </row>
    <row r="29" spans="1:2" ht="15.75" thickBot="1" x14ac:dyDescent="0.3">
      <c r="A29" s="3" t="s">
        <v>145</v>
      </c>
      <c r="B29" s="3" t="s">
        <v>49</v>
      </c>
    </row>
    <row r="30" spans="1:2" ht="15.75" thickBot="1" x14ac:dyDescent="0.3">
      <c r="A30" s="3" t="s">
        <v>146</v>
      </c>
      <c r="B30" s="3" t="s">
        <v>49</v>
      </c>
    </row>
    <row r="31" spans="1:2" ht="15.75" thickBot="1" x14ac:dyDescent="0.3">
      <c r="A31" s="3" t="s">
        <v>147</v>
      </c>
      <c r="B31" s="3" t="s">
        <v>49</v>
      </c>
    </row>
    <row r="32" spans="1:2" ht="15.75" thickBot="1" x14ac:dyDescent="0.3">
      <c r="A32" s="3" t="s">
        <v>148</v>
      </c>
      <c r="B32" s="3" t="s">
        <v>49</v>
      </c>
    </row>
    <row r="33" spans="1:2" ht="15.75" thickBot="1" x14ac:dyDescent="0.3">
      <c r="A33" s="3" t="s">
        <v>149</v>
      </c>
      <c r="B33" s="3" t="s">
        <v>49</v>
      </c>
    </row>
    <row r="34" spans="1:2" ht="15.75" thickBot="1" x14ac:dyDescent="0.3">
      <c r="A34" s="4" t="s">
        <v>33</v>
      </c>
      <c r="B34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Programas</vt:lpstr>
      <vt:lpstr>Regiones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Edison Ferney Enriquez Ceballos</cp:lastModifiedBy>
  <dcterms:created xsi:type="dcterms:W3CDTF">2025-08-20T06:35:59Z</dcterms:created>
  <dcterms:modified xsi:type="dcterms:W3CDTF">2025-08-20T17:56:33Z</dcterms:modified>
</cp:coreProperties>
</file>